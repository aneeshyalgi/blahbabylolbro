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eygermany-my.sharepoint.com/personal/christoph_wuennemann_ifb_ey_com/Documents/Documents/06_Products/RWA/IReF/"/>
    </mc:Choice>
  </mc:AlternateContent>
  <xr:revisionPtr revIDLastSave="77" documentId="8_{DE734C25-5546-4D5C-B5DE-BF6164152E22}" xr6:coauthVersionLast="47" xr6:coauthVersionMax="47" xr10:uidLastSave="{52FA8763-01A7-45E1-A7D0-239B298A4CF3}"/>
  <bookViews>
    <workbookView xWindow="-110" yWindow="-110" windowWidth="19420" windowHeight="11500" xr2:uid="{00000000-000D-0000-FFFF-FFFF00000000}"/>
  </bookViews>
  <sheets>
    <sheet name="Part I Base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4" l="1"/>
  <c r="H13" i="4"/>
  <c r="I11" i="4"/>
  <c r="J11" i="4"/>
  <c r="I12" i="4"/>
  <c r="J12" i="4"/>
  <c r="K12" i="4" s="1"/>
  <c r="I13" i="4"/>
  <c r="J13" i="4"/>
  <c r="K13" i="4" s="1"/>
  <c r="J10" i="4"/>
  <c r="G13" i="4" l="1"/>
  <c r="F13" i="4"/>
  <c r="E13" i="4"/>
  <c r="D13" i="4"/>
  <c r="C13" i="4"/>
  <c r="B13" i="4"/>
  <c r="A13" i="4"/>
  <c r="H12" i="4"/>
  <c r="G12" i="4"/>
  <c r="F12" i="4"/>
  <c r="E12" i="4"/>
  <c r="D12" i="4"/>
  <c r="C12" i="4"/>
  <c r="B12" i="4"/>
  <c r="A12" i="4"/>
  <c r="H11" i="4"/>
  <c r="G11" i="4"/>
  <c r="F11" i="4"/>
  <c r="E11" i="4"/>
  <c r="D11" i="4"/>
  <c r="C11" i="4"/>
  <c r="B11" i="4"/>
  <c r="A11" i="4"/>
  <c r="I10" i="4"/>
  <c r="K10" i="4" s="1"/>
  <c r="H10" i="4"/>
  <c r="G10" i="4"/>
  <c r="F10" i="4"/>
  <c r="E10" i="4"/>
  <c r="D10" i="4"/>
  <c r="C10" i="4"/>
  <c r="B10" i="4"/>
  <c r="A10" i="4"/>
</calcChain>
</file>

<file path=xl/sharedStrings.xml><?xml version="1.0" encoding="utf-8"?>
<sst xmlns="http://schemas.openxmlformats.org/spreadsheetml/2006/main" count="38" uniqueCount="22">
  <si>
    <t>RepDate</t>
  </si>
  <si>
    <t>Product Type</t>
  </si>
  <si>
    <t>Asset Class</t>
  </si>
  <si>
    <t>Nominal</t>
  </si>
  <si>
    <t>Test1</t>
  </si>
  <si>
    <t>Cluster</t>
  </si>
  <si>
    <t>Position</t>
  </si>
  <si>
    <t>Darlehen_1</t>
  </si>
  <si>
    <t>Darlehen_2</t>
  </si>
  <si>
    <t>Darlehen_3</t>
  </si>
  <si>
    <t>Darlehen_4</t>
  </si>
  <si>
    <t>Darlehenstyp</t>
  </si>
  <si>
    <t>Konsumentenkredit</t>
  </si>
  <si>
    <t>Betriebsmittelkredit</t>
  </si>
  <si>
    <t>Geschäftspartnertyp</t>
  </si>
  <si>
    <t>Unternehmen</t>
  </si>
  <si>
    <t>Private Haushalte</t>
  </si>
  <si>
    <t>Saldo</t>
  </si>
  <si>
    <t>Anteilige Zinsen</t>
  </si>
  <si>
    <t>EWB</t>
  </si>
  <si>
    <t>PWB</t>
  </si>
  <si>
    <t>Carrying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</si>
</sst>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44" formatCode="_-* #,##0.00\ &quot;€&quot;_-;\-* #,##0.00\ &quot;€&quot;_-;_-* &quot;-&quot;??\ &quot;€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2" applyFont="1"/>
    <xf numFmtId="0" fontId="2" fillId="2" borderId="0" xfId="0" applyFont="1" applyFill="1"/>
    <xf numFmtId="44" fontId="0" fillId="0" borderId="0" xfId="1" applyFont="1"/>
    <xf numFmtId="0" fontId="2" fillId="3" borderId="0" xfId="0" applyFont="1" applyFill="1"/>
    <xf numFmtId="14" fontId="0" fillId="0" borderId="0" xfId="0" applyNumberFormat="1"/>
    <xf numFmtId="8" fontId="3" fillId="0" borderId="0" xfId="0" applyNumberFormat="1" applyFont="1"/>
    <xf numFmtId="44" fontId="0" fillId="4" borderId="0" xfId="2" applyNumberFormat="1" applyFont="1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488F3-639A-4B0D-8C17-CF3E779C6086}">
  <sheetPr>
    <tabColor theme="9" tint="0.59999389629810485"/>
  </sheetPr>
  <dimension ref="A2:K13"/>
  <sheetViews>
    <sheetView tabSelected="1" topLeftCell="B1" workbookViewId="0">
      <selection activeCell="J15" sqref="J15"/>
    </sheetView>
  </sheetViews>
  <sheetFormatPr defaultRowHeight="14.5" x14ac:dyDescent="0.35"/>
  <cols>
    <col min="1" max="1" width="13" customWidth="1"/>
    <col min="3" max="3" width="12.26953125" customWidth="1"/>
    <col min="4" max="4" width="18" customWidth="1"/>
    <col min="5" max="5" width="19.7265625" customWidth="1"/>
    <col min="6" max="7" width="13.54296875" customWidth="1"/>
    <col min="8" max="9" width="17.81640625" customWidth="1"/>
    <col min="10" max="10" width="20" customWidth="1"/>
    <col min="11" max="11" width="19.453125" bestFit="1" customWidth="1"/>
  </cols>
  <sheetData>
    <row r="2" spans="1:11" x14ac:dyDescent="0.35">
      <c r="A2" s="4" t="s">
        <v>0</v>
      </c>
      <c r="B2" s="4" t="s">
        <v>5</v>
      </c>
      <c r="C2" s="4" t="s">
        <v>6</v>
      </c>
      <c r="D2" s="2" t="s">
        <v>11</v>
      </c>
      <c r="E2" s="2" t="s">
        <v>14</v>
      </c>
      <c r="F2" s="2" t="s">
        <v>3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x14ac:dyDescent="0.35">
      <c r="A3" s="5">
        <v>46022</v>
      </c>
      <c r="B3" t="s">
        <v>4</v>
      </c>
      <c r="C3" t="s">
        <v>7</v>
      </c>
      <c r="D3" t="s">
        <v>12</v>
      </c>
      <c r="E3" t="s">
        <v>16</v>
      </c>
      <c r="F3" s="6">
        <v>30000</v>
      </c>
      <c r="G3" s="3">
        <v>20000</v>
      </c>
      <c r="H3" s="3">
        <v>200</v>
      </c>
      <c r="I3" s="3"/>
      <c r="J3" s="3"/>
      <c r="K3" s="1"/>
    </row>
    <row r="4" spans="1:11" x14ac:dyDescent="0.35">
      <c r="A4" s="5">
        <v>46022</v>
      </c>
      <c r="B4" t="s">
        <v>4</v>
      </c>
      <c r="C4" t="s">
        <v>8</v>
      </c>
      <c r="D4" t="s">
        <v>12</v>
      </c>
      <c r="E4" t="s">
        <v>16</v>
      </c>
      <c r="F4" s="6">
        <v>90000</v>
      </c>
      <c r="G4" s="3">
        <v>80000</v>
      </c>
      <c r="H4" s="3">
        <v>400</v>
      </c>
      <c r="I4" s="3"/>
      <c r="J4" s="3"/>
      <c r="K4" s="1"/>
    </row>
    <row r="5" spans="1:11" x14ac:dyDescent="0.35">
      <c r="A5" s="5">
        <v>46022</v>
      </c>
      <c r="B5" t="s">
        <v>4</v>
      </c>
      <c r="C5" t="s">
        <v>9</v>
      </c>
      <c r="D5" t="s">
        <v>13</v>
      </c>
      <c r="E5" t="s">
        <v>15</v>
      </c>
      <c r="F5" s="6">
        <v>150000</v>
      </c>
      <c r="G5" s="3">
        <v>100000</v>
      </c>
      <c r="H5" s="3">
        <v>2000</v>
      </c>
      <c r="I5" s="3">
        <v>5000</v>
      </c>
      <c r="J5" s="3">
        <v>300</v>
      </c>
      <c r="K5" s="1"/>
    </row>
    <row r="6" spans="1:11" x14ac:dyDescent="0.35">
      <c r="A6" s="5">
        <v>46022</v>
      </c>
      <c r="B6" t="s">
        <v>4</v>
      </c>
      <c r="C6" t="s">
        <v>10</v>
      </c>
      <c r="D6" t="s">
        <v>13</v>
      </c>
      <c r="E6" t="s">
        <v>15</v>
      </c>
      <c r="F6" s="6">
        <v>40000</v>
      </c>
      <c r="G6" s="3">
        <v>20000</v>
      </c>
      <c r="H6" s="3">
        <v>300</v>
      </c>
      <c r="I6" s="6"/>
      <c r="J6" s="3">
        <v>300</v>
      </c>
      <c r="K6" s="1"/>
    </row>
    <row r="9" spans="1:11" x14ac:dyDescent="0.35">
      <c r="A9" s="4" t="s">
        <v>0</v>
      </c>
      <c r="B9" s="4" t="s">
        <v>5</v>
      </c>
      <c r="C9" s="4" t="s">
        <v>6</v>
      </c>
      <c r="D9" s="2" t="s">
        <v>1</v>
      </c>
      <c r="E9" s="2" t="s">
        <v>2</v>
      </c>
      <c r="F9" s="2" t="s">
        <v>3</v>
      </c>
      <c r="G9" s="2" t="s">
        <v>17</v>
      </c>
      <c r="H9" s="2" t="s">
        <v>18</v>
      </c>
      <c r="I9" s="2" t="s">
        <v>19</v>
      </c>
      <c r="J9" s="2" t="s">
        <v>20</v>
      </c>
      <c r="K9" s="2" t="s">
        <v>21</v>
      </c>
    </row>
    <row r="10" spans="1:11" x14ac:dyDescent="0.35">
      <c r="A10" s="5">
        <f t="shared" ref="A10:J10" si="0">A3</f>
        <v>46022</v>
      </c>
      <c r="B10" s="5" t="str">
        <f t="shared" si="0"/>
        <v>Test1</v>
      </c>
      <c r="C10" s="5" t="str">
        <f t="shared" si="0"/>
        <v>Darlehen_1</v>
      </c>
      <c r="D10" t="str">
        <f t="shared" si="0"/>
        <v>Konsumentenkredit</v>
      </c>
      <c r="E10" t="str">
        <f t="shared" si="0"/>
        <v>Private Haushalte</v>
      </c>
      <c r="F10" s="3">
        <f t="shared" si="0"/>
        <v>30000</v>
      </c>
      <c r="G10" s="3">
        <f t="shared" si="0"/>
        <v>20000</v>
      </c>
      <c r="H10" s="3">
        <f t="shared" si="0"/>
        <v>200</v>
      </c>
      <c r="I10" s="3">
        <f t="shared" si="0"/>
        <v>0</v>
      </c>
      <c r="J10" s="3">
        <f t="shared" si="0"/>
        <v>0</v>
      </c>
      <c r="K10" s="7">
        <f>G10-I10-J10</f>
        <v>20000</v>
      </c>
    </row>
    <row r="11" spans="1:11" x14ac:dyDescent="0.35">
      <c r="A11" s="5">
        <f t="shared" ref="A11:H13" si="1">A4</f>
        <v>46022</v>
      </c>
      <c r="B11" s="5" t="str">
        <f t="shared" si="1"/>
        <v>Test1</v>
      </c>
      <c r="C11" s="5" t="str">
        <f t="shared" si="1"/>
        <v>Darlehen_2</v>
      </c>
      <c r="D11" t="str">
        <f t="shared" si="1"/>
        <v>Konsumentenkredit</v>
      </c>
      <c r="E11" t="str">
        <f t="shared" si="1"/>
        <v>Private Haushalte</v>
      </c>
      <c r="F11" s="3">
        <f t="shared" si="1"/>
        <v>90000</v>
      </c>
      <c r="G11" s="3">
        <f t="shared" si="1"/>
        <v>80000</v>
      </c>
      <c r="H11" s="3">
        <f t="shared" si="1"/>
        <v>400</v>
      </c>
      <c r="I11" s="3">
        <f t="shared" ref="I11:J11" si="2">I4</f>
        <v>0</v>
      </c>
      <c r="J11" s="3">
        <f t="shared" si="2"/>
        <v>0</v>
      </c>
      <c r="K11" s="7">
        <f t="shared" ref="K11:K13" si="3">G11-I11-J11</f>
        <v>80000</v>
      </c>
    </row>
    <row r="12" spans="1:11" x14ac:dyDescent="0.35">
      <c r="A12" s="5">
        <f t="shared" si="1"/>
        <v>46022</v>
      </c>
      <c r="B12" s="5" t="str">
        <f t="shared" si="1"/>
        <v>Test1</v>
      </c>
      <c r="C12" s="5" t="str">
        <f t="shared" si="1"/>
        <v>Darlehen_3</v>
      </c>
      <c r="D12" t="str">
        <f t="shared" si="1"/>
        <v>Betriebsmittelkredit</v>
      </c>
      <c r="E12" t="str">
        <f t="shared" si="1"/>
        <v>Unternehmen</v>
      </c>
      <c r="F12" s="3">
        <f t="shared" si="1"/>
        <v>150000</v>
      </c>
      <c r="G12" s="3">
        <f t="shared" si="1"/>
        <v>100000</v>
      </c>
      <c r="H12" s="3">
        <f t="shared" si="1"/>
        <v>2000</v>
      </c>
      <c r="I12" s="3">
        <f t="shared" ref="I12:J12" si="4">I5</f>
        <v>5000</v>
      </c>
      <c r="J12" s="3">
        <f t="shared" si="4"/>
        <v>300</v>
      </c>
      <c r="K12" s="7">
        <f t="shared" si="3"/>
        <v>94700</v>
      </c>
    </row>
    <row r="13" spans="1:11" x14ac:dyDescent="0.35">
      <c r="A13" s="5">
        <f t="shared" si="1"/>
        <v>46022</v>
      </c>
      <c r="B13" s="5" t="str">
        <f t="shared" si="1"/>
        <v>Test1</v>
      </c>
      <c r="C13" s="5" t="str">
        <f t="shared" si="1"/>
        <v>Darlehen_4</v>
      </c>
      <c r="D13" t="str">
        <f t="shared" si="1"/>
        <v>Betriebsmittelkredit</v>
      </c>
      <c r="E13" t="str">
        <f t="shared" si="1"/>
        <v>Unternehmen</v>
      </c>
      <c r="F13" s="3">
        <f t="shared" si="1"/>
        <v>40000</v>
      </c>
      <c r="G13" s="3">
        <f t="shared" si="1"/>
        <v>20000</v>
      </c>
      <c r="H13" s="3">
        <f t="shared" si="1"/>
        <v>300</v>
      </c>
      <c r="I13" s="3">
        <f t="shared" ref="I13:J13" si="5">I6</f>
        <v>0</v>
      </c>
      <c r="J13" s="3">
        <f t="shared" si="5"/>
        <v>300</v>
      </c>
      <c r="K13" s="7">
        <f t="shared" si="3"/>
        <v>19700</v>
      </c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b3606e7-a669-40de-8731-97c8d8f2d36a">
      <Terms xmlns="http://schemas.microsoft.com/office/infopath/2007/PartnerControls"/>
    </lcf76f155ced4ddcb4097134ff3c332f>
    <TaxCatchAll xmlns="3e8f6f1b-4637-47f0-899c-29aa090b630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3BE76AFFFDB147AA288663B3A3DB4D" ma:contentTypeVersion="13" ma:contentTypeDescription="Create a new document." ma:contentTypeScope="" ma:versionID="54dfb729af1d8264e127849f2d9ce236">
  <xsd:schema xmlns:xsd="http://www.w3.org/2001/XMLSchema" xmlns:xs="http://www.w3.org/2001/XMLSchema" xmlns:p="http://schemas.microsoft.com/office/2006/metadata/properties" xmlns:ns2="3b3606e7-a669-40de-8731-97c8d8f2d36a" xmlns:ns3="3e8f6f1b-4637-47f0-899c-29aa090b630e" targetNamespace="http://schemas.microsoft.com/office/2006/metadata/properties" ma:root="true" ma:fieldsID="81b797fcc79f10d251e8b1a79bc24db5" ns2:_="" ns3:_="">
    <xsd:import namespace="3b3606e7-a669-40de-8731-97c8d8f2d36a"/>
    <xsd:import namespace="3e8f6f1b-4637-47f0-899c-29aa090b63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3606e7-a669-40de-8731-97c8d8f2d3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8f6f1b-4637-47f0-899c-29aa090b630e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c75d5b37-a8ec-4061-ae89-9471cd2cdc35}" ma:internalName="TaxCatchAll" ma:showField="CatchAllData" ma:web="3e8f6f1b-4637-47f0-899c-29aa090b63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EEA205-D219-4700-82B9-50A2F0EBCC7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D4E01CC-73BD-410F-AB3C-E9C3E9AD900B}">
  <ds:schemaRefs>
    <ds:schemaRef ds:uri="http://schemas.microsoft.com/office/2006/metadata/properties"/>
    <ds:schemaRef ds:uri="http://schemas.microsoft.com/office/infopath/2007/PartnerControls"/>
    <ds:schemaRef ds:uri="3b3606e7-a669-40de-8731-97c8d8f2d36a"/>
    <ds:schemaRef ds:uri="3e8f6f1b-4637-47f0-899c-29aa090b630e"/>
  </ds:schemaRefs>
</ds:datastoreItem>
</file>

<file path=customXml/itemProps3.xml><?xml version="1.0" encoding="utf-8"?>
<ds:datastoreItem xmlns:ds="http://schemas.openxmlformats.org/officeDocument/2006/customXml" ds:itemID="{08822DF0-BCFE-4CA3-AFD8-F153C7F4D1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3606e7-a669-40de-8731-97c8d8f2d36a"/>
    <ds:schemaRef ds:uri="3e8f6f1b-4637-47f0-899c-29aa090b63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 I 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Christoph Wünnemann</dc:creator>
  <cp:keywords/>
  <dc:description/>
  <cp:lastModifiedBy>Christoph Wünnemann</cp:lastModifiedBy>
  <cp:revision/>
  <dcterms:created xsi:type="dcterms:W3CDTF">2015-06-05T18:19:34Z</dcterms:created>
  <dcterms:modified xsi:type="dcterms:W3CDTF">2026-08-24T09:38:37Z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0x0101004D3BE76AFFFDB147AA288663B3A3DB4D</vt:lpwstr>
  </property>
  <property fmtid="{D5CDD505-2E9C-101B-9397-08002B2CF9AE}" pid="3" name="MediaServiceImageTags">
    <vt:lpwstr/>
  </property>
</Properties>
</file>